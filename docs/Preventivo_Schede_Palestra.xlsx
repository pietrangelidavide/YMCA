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one" sheetId="1" state="visible" r:id="rId3"/>
    <sheet name="Carico" sheetId="2" state="visible" r:id="rId4"/>
    <sheet name="Confronto" sheetId="3" state="visible" r:id="rId5"/>
    <sheet name="Font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<sst xmlns="http://schemas.openxmlformats.org/spreadsheetml/2006/main" count="208" uniqueCount="183">
  <si>
    <t xml:space="preserve">Schede palestra · canone mensile e avvio</t>
  </si>
  <si>
    <t xml:space="preserve">Celle blu = ipotesi da modificare (giallo = da decidere o confermare). Nero = formule. Il canone dipende soprattutto dal tempo di assistenza, non dal numero di soci.</t>
  </si>
  <si>
    <t xml:space="preserve">Ipotesi</t>
  </si>
  <si>
    <t xml:space="preserve">Tariffa oraria (€/h)</t>
  </si>
  <si>
    <t xml:space="preserve">Il tuo valore (stesso usato per DF Barbershop): cambialo e guarda i canoni</t>
  </si>
  <si>
    <t xml:space="preserve">Riserva per imprevisti</t>
  </si>
  <si>
    <t xml:space="preserve">Margine sul costo totale</t>
  </si>
  <si>
    <t xml:space="preserve">Supabase Pro (USD/mese)</t>
  </si>
  <si>
    <t xml:space="preserve">supabase.com/pricing, controllato il 14/10/2026 (vedi foglio Fonti)</t>
  </si>
  <si>
    <t xml:space="preserve">Cambio EUR per USD</t>
  </si>
  <si>
    <t xml:space="preserve">Da aggiornare</t>
  </si>
  <si>
    <t xml:space="preserve">Altri costi vivi (€/mese)</t>
  </si>
  <si>
    <t xml:space="preserve">Dominio a quota; email gratuite con SMTP esterno (Brevo, Resend...)</t>
  </si>
  <si>
    <t xml:space="preserve">Costi vivi al mese (€)</t>
  </si>
  <si>
    <t xml:space="preserve">Database e hosting + altri costi (Cloudflare per la web app: gratuito)</t>
  </si>
  <si>
    <t xml:space="preserve">Livello</t>
  </si>
  <si>
    <t xml:space="preserve">Ore al mese</t>
  </si>
  <si>
    <t xml:space="preserve">Costo del tempo (€)</t>
  </si>
  <si>
    <t xml:space="preserve">Costi vivi (€)</t>
  </si>
  <si>
    <t xml:space="preserve">Costo totale (€)</t>
  </si>
  <si>
    <t xml:space="preserve">Canone calcolato (€)</t>
  </si>
  <si>
    <t xml:space="preserve">Canone in proposta (€)</t>
  </si>
  <si>
    <t xml:space="preserve">Differenza (€)</t>
  </si>
  <si>
    <t xml:space="preserve">Web app installabile</t>
  </si>
  <si>
    <t xml:space="preserve">App + store (iPhone e Android)</t>
  </si>
  <si>
    <t xml:space="preserve">Ore al mese = assistenza, piccole modifiche, controlli e aggiornamenti: 1 h per la sola web app, 2 h con gli store (invio e revisioni Apple/Google a ogni versione). Stima da confermare dopo i primi mesi.</t>
  </si>
  <si>
    <t xml:space="preserve">Quanto vale il canone con altre tariffe orarie (€/mese)</t>
  </si>
  <si>
    <t xml:space="preserve">App + store</t>
  </si>
  <si>
    <t xml:space="preserve">Entrate annue dal canone in proposta (€)</t>
  </si>
  <si>
    <t xml:space="preserve">Canone × 12</t>
  </si>
  <si>
    <t xml:space="preserve">Avvio una tantum</t>
  </si>
  <si>
    <t xml:space="preserve">Voce</t>
  </si>
  <si>
    <t xml:space="preserve">Ore · web app</t>
  </si>
  <si>
    <t xml:space="preserve">Ore · app + store</t>
  </si>
  <si>
    <t xml:space="preserve">Note</t>
  </si>
  <si>
    <t xml:space="preserve">Configurazione database, dominio e marchio</t>
  </si>
  <si>
    <t xml:space="preserve">Progetto Supabase in UE, setup.sql, nome palestra, colori, icona</t>
  </si>
  <si>
    <t xml:space="preserve">Caricamento esercizi (link ai video), modelli di scheda e soci</t>
  </si>
  <si>
    <t xml:space="preserve">Dipende da quanti video e schede la palestra vuole già pronti</t>
  </si>
  <si>
    <t xml:space="preserve">Formazione di personal trainer e titolare</t>
  </si>
  <si>
    <t xml:space="preserve">Collaudo con la palestra</t>
  </si>
  <si>
    <t xml:space="preserve">Prova con soci e PT reali prima del lancio</t>
  </si>
  <si>
    <t xml:space="preserve">Pubblicazione negli store</t>
  </si>
  <si>
    <t xml:space="preserve">Schede degli store, screenshot, revisioni Apple e Google</t>
  </si>
  <si>
    <t xml:space="preserve">Ore totali</t>
  </si>
  <si>
    <t xml:space="preserve">Quota di sviluppo dell'app (€)</t>
  </si>
  <si>
    <t xml:space="preserve">DA DECIDERE: contributo al lavoro già fatto sull'app; con più palestre si può ridurre. Il valore è un segnaposto.</t>
  </si>
  <si>
    <t xml:space="preserve">Totale avvio (€)</t>
  </si>
  <si>
    <t xml:space="preserve">Esclusi: Apple Developer (99 €/anno) e Google Play (25 € una tantum), che vanno intestati alla palestra (vedi foglio Confronto). IVA esclusa.</t>
  </si>
  <si>
    <t xml:space="preserve">Schede palestra · stima del carico sul database</t>
  </si>
  <si>
    <t xml:space="preserve">Celle blu = ipotesi da modificare (giallo = da confermare con la palestra). Nero = formule.</t>
  </si>
  <si>
    <t xml:space="preserve">Scenario</t>
  </si>
  <si>
    <t xml:space="preserve">Prudente</t>
  </si>
  <si>
    <t xml:space="preserve">Atteso</t>
  </si>
  <si>
    <t xml:space="preserve">Pieno</t>
  </si>
  <si>
    <t xml:space="preserve">Soci iscritti attivi</t>
  </si>
  <si>
    <t xml:space="preserve">Da chiedere alla palestra</t>
  </si>
  <si>
    <t xml:space="preserve">Soci che usano l'app</t>
  </si>
  <si>
    <t xml:space="preserve">Quota dei soci con una scheda attiva e l'app installata</t>
  </si>
  <si>
    <t xml:space="preserve">Allenamenti a settimana per socio</t>
  </si>
  <si>
    <t xml:space="preserve">Chi usa l'app</t>
  </si>
  <si>
    <t xml:space="preserve">Personal trainer</t>
  </si>
  <si>
    <t xml:space="preserve">Parametri comuni</t>
  </si>
  <si>
    <t xml:space="preserve">Settimane per mese</t>
  </si>
  <si>
    <t xml:space="preserve">Serie registrate per allenamento</t>
  </si>
  <si>
    <t xml:space="preserve">Più 1 riga per l'allenamento stesso</t>
  </si>
  <si>
    <t xml:space="preserve">Richieste al server per allenamento</t>
  </si>
  <si>
    <t xml:space="preserve">Scheda, ultimi valori, invio finale, aggiornamenti</t>
  </si>
  <si>
    <t xml:space="preserve">Sessioni di consultazione per socio al mese</t>
  </si>
  <si>
    <t xml:space="preserve">Scheda, progressi, esercizi fuori dall'allenamento</t>
  </si>
  <si>
    <t xml:space="preserve">Richieste per sessione di consultazione</t>
  </si>
  <si>
    <t xml:space="preserve">Sessioni al giorno per personal trainer</t>
  </si>
  <si>
    <t xml:space="preserve">Richieste per sessione del PT</t>
  </si>
  <si>
    <t xml:space="preserve">Elenco soci, scheda, costruttore</t>
  </si>
  <si>
    <t xml:space="preserve">Giorni di lavoro del PT al mese</t>
  </si>
  <si>
    <t xml:space="preserve">KB scaricati per richiesta</t>
  </si>
  <si>
    <t xml:space="preserve">Una scheda completa pesa di più, un invio molto meno</t>
  </si>
  <si>
    <t xml:space="preserve">KB per riga di database (con indici)</t>
  </si>
  <si>
    <t xml:space="preserve">Nuove schede attivate per socio al mese</t>
  </si>
  <si>
    <t xml:space="preserve">Una scheda ogni 6-8 settimane circa</t>
  </si>
  <si>
    <t xml:space="preserve">Messaggi PT-socio per socio al mese</t>
  </si>
  <si>
    <t xml:space="preserve">Notifica push a chi riceve</t>
  </si>
  <si>
    <t xml:space="preserve">Piano Free: traffico incluso (GB/mese)</t>
  </si>
  <si>
    <t xml:space="preserve">supabase.com/pricing, 14/10/2026</t>
  </si>
  <si>
    <t xml:space="preserve">Piano Free: database incluso (MB)</t>
  </si>
  <si>
    <t xml:space="preserve">Piano Pro: traffico incluso (GB/mese)</t>
  </si>
  <si>
    <t xml:space="preserve">Piano Pro: database incluso (GB)</t>
  </si>
  <si>
    <t xml:space="preserve">Risultati</t>
  </si>
  <si>
    <t xml:space="preserve">Per mese</t>
  </si>
  <si>
    <t xml:space="preserve">Come si calcola</t>
  </si>
  <si>
    <t xml:space="preserve">Soci attivi nell'app</t>
  </si>
  <si>
    <t xml:space="preserve">Soci iscritti × quota che usa l'app</t>
  </si>
  <si>
    <t xml:space="preserve">Allenamenti registrati</t>
  </si>
  <si>
    <t xml:space="preserve">Soci attivi × allenamenti a settimana × settimane</t>
  </si>
  <si>
    <t xml:space="preserve">Righe nuove nel database</t>
  </si>
  <si>
    <t xml:space="preserve">Allenamenti × (1 + serie)</t>
  </si>
  <si>
    <t xml:space="preserve">Richieste al server</t>
  </si>
  <si>
    <t xml:space="preserve">Allenamenti + consultazioni + lavoro dei PT</t>
  </si>
  <si>
    <t xml:space="preserve">Traffico (GB)</t>
  </si>
  <si>
    <t xml:space="preserve">Traffico sul limite del piano Free</t>
  </si>
  <si>
    <t xml:space="preserve">Sopra il 100% il Free non basta (nello scenario Pieno)</t>
  </si>
  <si>
    <t xml:space="preserve">Traffico sul limite del piano Pro</t>
  </si>
  <si>
    <t xml:space="preserve">Crescita del database in un anno (MB)</t>
  </si>
  <si>
    <t xml:space="preserve">Database in un anno sul limite del piano Free</t>
  </si>
  <si>
    <t xml:space="preserve">Sopra il 100%: il Free si riempie entro l'anno</t>
  </si>
  <si>
    <t xml:space="preserve">Database in un anno sul limite del piano Pro</t>
  </si>
  <si>
    <t xml:space="preserve">Notifiche push al mese</t>
  </si>
  <si>
    <t xml:space="preserve">Nuove schede + messaggi</t>
  </si>
  <si>
    <t xml:space="preserve">Perché comunque il piano Pro: il Free non ha backup e si mette in pausa dopo una settimana senza accessi; per i dati dei soci di una palestra non è una base accettabile.</t>
  </si>
  <si>
    <t xml:space="preserve">Confronto con Training Program PRO</t>
  </si>
  <si>
    <t xml:space="preserve">Il listino di Training Program PRO non è pubblico (su Capterra: «da 10 €», in base al numero di utenti). Inserisci il canone che la palestra paga oggi, preso dalla fattura.</t>
  </si>
  <si>
    <t xml:space="preserve">Canone attuale della palestra (€/mese)</t>
  </si>
  <si>
    <t xml:space="preserve">DA INSERIRE dalla fattura (IVA esclusa)</t>
  </si>
  <si>
    <t xml:space="preserve">Orizzonte del confronto (anni)</t>
  </si>
  <si>
    <t xml:space="preserve">Per spalmare avvio e quota degli account store</t>
  </si>
  <si>
    <t xml:space="preserve">Apple Developer Program (€/anno)</t>
  </si>
  <si>
    <t xml:space="preserve">developer.apple.com, intestato alla palestra; da verificare</t>
  </si>
  <si>
    <t xml:space="preserve">Google Play Console (€ una tantum)</t>
  </si>
  <si>
    <t xml:space="preserve">Pagamento unico, intestato alla palestra; da verificare</t>
  </si>
  <si>
    <t xml:space="preserve">Costo per la palestra</t>
  </si>
  <si>
    <t xml:space="preserve">Canone mensile (€)</t>
  </si>
  <si>
    <t xml:space="preserve">Dal foglio Canone</t>
  </si>
  <si>
    <t xml:space="preserve">Account store al mese (€)</t>
  </si>
  <si>
    <t xml:space="preserve">Apple + Google spalmati sull'orizzonte</t>
  </si>
  <si>
    <t xml:space="preserve">Costo mensile (€)</t>
  </si>
  <si>
    <t xml:space="preserve">Avvio una tantum (€)</t>
  </si>
  <si>
    <t xml:space="preserve">Costo totale nell'orizzonte (€)</t>
  </si>
  <si>
    <t xml:space="preserve">Mensile × mesi + avvio</t>
  </si>
  <si>
    <t xml:space="preserve">Costo medio al mese, avvio compreso (€)</t>
  </si>
  <si>
    <t xml:space="preserve">È il canone attuale sotto il quale non conviene cambiare</t>
  </si>
  <si>
    <t xml:space="preserve">Con il canone attuale inserito sopra</t>
  </si>
  <si>
    <t xml:space="preserve">Costo di Training Program PRO nell'orizzonte (€)</t>
  </si>
  <si>
    <t xml:space="preserve">Risparmio nell'orizzonte (€)</t>
  </si>
  <si>
    <t xml:space="preserve">Risparmio all'anno, in media (€)</t>
  </si>
  <si>
    <t xml:space="preserve">Risparmio in percentuale</t>
  </si>
  <si>
    <t xml:space="preserve">E se il canone attuale fosse… (cifre di esempio, NON il listino di Training Program PRO)</t>
  </si>
  <si>
    <t xml:space="preserve">Canone attuale (€/mese)</t>
  </si>
  <si>
    <t xml:space="preserve">Risparmio all'anno · web app (€)</t>
  </si>
  <si>
    <t xml:space="preserve">Risparmio all'anno · app + store (€)</t>
  </si>
  <si>
    <t xml:space="preserve">Negativo = con quel canone attuale non conviene cambiare (nel periodo considerato).</t>
  </si>
  <si>
    <t xml:space="preserve">Cosa non è in questo confronto: Training Program PRO ha una libreria di oltre 450 esercizi con video 3D, calendario appuntamenti e valutazioni fisiche; questa app ha 73 esercizi di partenza con link a video propri e non gestisce appuntamenti.</t>
  </si>
  <si>
    <t xml:space="preserve">Fonti e cose da verificare</t>
  </si>
  <si>
    <t xml:space="preserve">Dato</t>
  </si>
  <si>
    <t xml:space="preserve">Valore usato</t>
  </si>
  <si>
    <t xml:space="preserve">Fonte</t>
  </si>
  <si>
    <t xml:space="preserve">Stato</t>
  </si>
  <si>
    <t xml:space="preserve">Supabase Pro</t>
  </si>
  <si>
    <t xml:space="preserve">25 USD/mese; 8 GB database; 250 GB traffico; 100.000 utenti attivi; backup giornalieri (7 giorni); mai in pausa</t>
  </si>
  <si>
    <t xml:space="preserve">https://supabase.com/pricing.md</t>
  </si>
  <si>
    <t xml:space="preserve">Letto il 14/10/2026</t>
  </si>
  <si>
    <t xml:space="preserve">Supabase Free</t>
  </si>
  <si>
    <t xml:space="preserve">0 USD; 500 MB database; 5 GB traffico; nessun backup; pausa dopo 1 settimana di inattività</t>
  </si>
  <si>
    <t xml:space="preserve">Expo EAS (build negli store)</t>
  </si>
  <si>
    <t xml:space="preserve">Free: 15 build Android e 15 iOS, coda a bassa priorità; Starter 19 USD/mese + consumo</t>
  </si>
  <si>
    <t xml:space="preserve">https://expo.dev/pricing.md</t>
  </si>
  <si>
    <t xml:space="preserve">Letto il 14/10/2026; per una palestra basta il Free</t>
  </si>
  <si>
    <t xml:space="preserve">Training Program PRO</t>
  </si>
  <si>
    <t xml:space="preserve">Produttore XeniaSoft; Capterra: prezzo «da 10 €», periodicità non indicata, in base al numero di utenti; prova gratuita</t>
  </si>
  <si>
    <t xml:space="preserve">https://www.capterra.it/software/212681/training-program-pro</t>
  </si>
  <si>
    <t xml:space="preserve">Listino reale NON pubblico: serve la fattura della palestra</t>
  </si>
  <si>
    <t xml:space="preserve">App «Training Program» (iOS)</t>
  </si>
  <si>
    <t xml:space="preserve">Sviluppatore Xeniasoft SRL; gratuita sull'App Store; scheda in tempo reale dal PT, timer, statistiche</t>
  </si>
  <si>
    <t xml:space="preserve">https://apps.apple.com/app/id1012286919</t>
  </si>
  <si>
    <t xml:space="preserve">Apple Developer Program</t>
  </si>
  <si>
    <t xml:space="preserve">99 €/anno</t>
  </si>
  <si>
    <t xml:space="preserve">developer.apple.com</t>
  </si>
  <si>
    <t xml:space="preserve">Da memoria: verificare prima di preventivare</t>
  </si>
  <si>
    <t xml:space="preserve">Google Play Console</t>
  </si>
  <si>
    <t xml:space="preserve">25 € una tantum</t>
  </si>
  <si>
    <t xml:space="preserve">play.google.com/console</t>
  </si>
  <si>
    <t xml:space="preserve">Cloudflare (web app e demo)</t>
  </si>
  <si>
    <t xml:space="preserve">0 € per file statici</t>
  </si>
  <si>
    <t xml:space="preserve">cloudflare.com</t>
  </si>
  <si>
    <t xml:space="preserve">Cambio EUR/USD</t>
  </si>
  <si>
    <t xml:space="preserve">0,92</t>
  </si>
  <si>
    <t xml:space="preserve">-</t>
  </si>
  <si>
    <t xml:space="preserve">Ipotesi: aggiornare</t>
  </si>
  <si>
    <t xml:space="preserve">Ore di assistenza e di avvio</t>
  </si>
  <si>
    <t xml:space="preserve">1-2 h/mese; 16-22 h di avvio</t>
  </si>
  <si>
    <t xml:space="preserve">Stime mie: da rivedere con l'esperienza</t>
  </si>
  <si>
    <t xml:space="preserve">Quota di sviluppo</t>
  </si>
  <si>
    <t xml:space="preserve">1.500 €</t>
  </si>
  <si>
    <t xml:space="preserve">Segnaposto da decidere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</si>
</sst>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%"/>
    <numFmt numFmtId="167" formatCode="0.00"/>
    <numFmt numFmtId="168" formatCode="0.0"/>
    <numFmt numFmtId="169" formatCode="0"/>
    <numFmt numFmtId="170" formatCode="0.0;\-0.0;0.0"/>
    <numFmt numFmtId="171" formatCode="0.0%"/>
    <numFmt numFmtId="172" formatCode="#,##0;\-#,##0;0"/>
    <numFmt numFmtId="173" formatCode="0%;\-0%;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C1C1E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35</v>
      </c>
      <c r="C5" s="2" t="s">
        <v>4</v>
      </c>
    </row>
    <row r="6" customFormat="false" ht="15" hidden="false" customHeight="false" outlineLevel="0" collapsed="false">
      <c r="A6" s="4" t="s">
        <v>5</v>
      </c>
      <c r="B6" s="6" t="n">
        <v>0.15</v>
      </c>
      <c r="C6" s="2" t="s">
        <v>6</v>
      </c>
    </row>
    <row r="7" customFormat="false" ht="15" hidden="false" customHeight="false" outlineLevel="0" collapsed="false">
      <c r="A7" s="4" t="s">
        <v>7</v>
      </c>
      <c r="B7" s="7" t="n">
        <v>25</v>
      </c>
      <c r="C7" s="2" t="s">
        <v>8</v>
      </c>
    </row>
    <row r="8" customFormat="false" ht="15" hidden="false" customHeight="false" outlineLevel="0" collapsed="false">
      <c r="A8" s="4" t="s">
        <v>9</v>
      </c>
      <c r="B8" s="8" t="n">
        <v>0.92</v>
      </c>
      <c r="C8" s="2" t="s">
        <v>10</v>
      </c>
    </row>
    <row r="9" customFormat="false" ht="15" hidden="false" customHeight="false" outlineLevel="0" collapsed="false">
      <c r="A9" s="4" t="s">
        <v>11</v>
      </c>
      <c r="B9" s="7" t="n">
        <v>3</v>
      </c>
      <c r="C9" s="2" t="s">
        <v>12</v>
      </c>
    </row>
    <row r="10" customFormat="false" ht="15" hidden="false" customHeight="false" outlineLevel="0" collapsed="false">
      <c r="A10" s="3" t="s">
        <v>13</v>
      </c>
      <c r="B10" s="9" t="n">
        <f aca="false">B7*B8+B9</f>
        <v>26</v>
      </c>
      <c r="C10" s="2" t="s">
        <v>14</v>
      </c>
    </row>
    <row r="12" customFormat="false" ht="30" hidden="false" customHeight="true" outlineLevel="0" collapsed="false">
      <c r="A12" s="10" t="s">
        <v>15</v>
      </c>
      <c r="B12" s="11" t="s">
        <v>16</v>
      </c>
      <c r="C12" s="11" t="s">
        <v>17</v>
      </c>
      <c r="D12" s="11" t="s">
        <v>18</v>
      </c>
      <c r="E12" s="11" t="s">
        <v>19</v>
      </c>
      <c r="F12" s="11" t="s">
        <v>20</v>
      </c>
      <c r="G12" s="11" t="s">
        <v>21</v>
      </c>
      <c r="H12" s="11" t="s">
        <v>22</v>
      </c>
    </row>
    <row r="13" customFormat="false" ht="15" hidden="false" customHeight="false" outlineLevel="0" collapsed="false">
      <c r="A13" s="4" t="s">
        <v>23</v>
      </c>
      <c r="B13" s="12" t="n">
        <v>1</v>
      </c>
      <c r="C13" s="9" t="n">
        <f aca="false">B13*$B$5</f>
        <v>35</v>
      </c>
      <c r="D13" s="9" t="n">
        <f aca="false">$B$10</f>
        <v>26</v>
      </c>
      <c r="E13" s="9" t="n">
        <f aca="false">C13+D13</f>
        <v>61</v>
      </c>
      <c r="F13" s="9" t="n">
        <f aca="false">E13*(1+$B$6)</f>
        <v>70.15</v>
      </c>
      <c r="G13" s="13" t="n">
        <v>75</v>
      </c>
      <c r="H13" s="14" t="n">
        <f aca="false">G13-F13</f>
        <v>4.85000000000001</v>
      </c>
    </row>
    <row r="14" customFormat="false" ht="15" hidden="false" customHeight="false" outlineLevel="0" collapsed="false">
      <c r="A14" s="4" t="s">
        <v>24</v>
      </c>
      <c r="B14" s="12" t="n">
        <v>2</v>
      </c>
      <c r="C14" s="9" t="n">
        <f aca="false">B14*$B$5</f>
        <v>70</v>
      </c>
      <c r="D14" s="9" t="n">
        <f aca="false">$B$10</f>
        <v>26</v>
      </c>
      <c r="E14" s="9" t="n">
        <f aca="false">C14+D14</f>
        <v>96</v>
      </c>
      <c r="F14" s="9" t="n">
        <f aca="false">E14*(1+$B$6)</f>
        <v>110.4</v>
      </c>
      <c r="G14" s="13" t="n">
        <v>115</v>
      </c>
      <c r="H14" s="14" t="n">
        <f aca="false">G14-F14</f>
        <v>4.60000000000001</v>
      </c>
    </row>
    <row r="15" customFormat="false" ht="15" hidden="false" customHeight="false" outlineLevel="0" collapsed="false">
      <c r="A15" s="2" t="s">
        <v>25</v>
      </c>
    </row>
    <row r="17" customFormat="false" ht="15" hidden="false" customHeight="false" outlineLevel="0" collapsed="false">
      <c r="A17" s="3" t="s">
        <v>26</v>
      </c>
    </row>
    <row r="18" customFormat="false" ht="30" hidden="false" customHeight="true" outlineLevel="0" collapsed="false">
      <c r="A18" s="10" t="s">
        <v>3</v>
      </c>
      <c r="B18" s="11" t="s">
        <v>23</v>
      </c>
      <c r="C18" s="11" t="s">
        <v>27</v>
      </c>
    </row>
    <row r="19" customFormat="false" ht="15" hidden="false" customHeight="false" outlineLevel="0" collapsed="false">
      <c r="A19" s="15" t="n">
        <v>25</v>
      </c>
      <c r="B19" s="16" t="n">
        <f aca="false">(INDEX($B$13:$B$14,1)*$A19+$B$10)*(1+$B$6)</f>
        <v>58.65</v>
      </c>
      <c r="C19" s="16" t="n">
        <f aca="false">(INDEX($B$13:$B$14,2)*$A19+$B$10)*(1+$B$6)</f>
        <v>87.4</v>
      </c>
    </row>
    <row r="20" customFormat="false" ht="15" hidden="false" customHeight="false" outlineLevel="0" collapsed="false">
      <c r="A20" s="15" t="n">
        <v>35</v>
      </c>
      <c r="B20" s="16" t="n">
        <f aca="false">(INDEX($B$13:$B$14,1)*$A20+$B$10)*(1+$B$6)</f>
        <v>70.15</v>
      </c>
      <c r="C20" s="16" t="n">
        <f aca="false">(INDEX($B$13:$B$14,2)*$A20+$B$10)*(1+$B$6)</f>
        <v>110.4</v>
      </c>
    </row>
    <row r="21" customFormat="false" ht="15" hidden="false" customHeight="false" outlineLevel="0" collapsed="false">
      <c r="A21" s="15" t="n">
        <v>45</v>
      </c>
      <c r="B21" s="16" t="n">
        <f aca="false">(INDEX($B$13:$B$14,1)*$A21+$B$10)*(1+$B$6)</f>
        <v>81.65</v>
      </c>
      <c r="C21" s="16" t="n">
        <f aca="false">(INDEX($B$13:$B$14,2)*$A21+$B$10)*(1+$B$6)</f>
        <v>133.4</v>
      </c>
    </row>
    <row r="22" customFormat="false" ht="15" hidden="false" customHeight="false" outlineLevel="0" collapsed="false">
      <c r="A22" s="15" t="n">
        <v>60</v>
      </c>
      <c r="B22" s="16" t="n">
        <f aca="false">(INDEX($B$13:$B$14,1)*$A22+$B$10)*(1+$B$6)</f>
        <v>98.9</v>
      </c>
      <c r="C22" s="16" t="n">
        <f aca="false">(INDEX($B$13:$B$14,2)*$A22+$B$10)*(1+$B$6)</f>
        <v>167.9</v>
      </c>
    </row>
    <row r="24" customFormat="false" ht="15" hidden="false" customHeight="false" outlineLevel="0" collapsed="false">
      <c r="A24" s="3" t="s">
        <v>28</v>
      </c>
    </row>
    <row r="25" customFormat="false" ht="15" hidden="false" customHeight="false" outlineLevel="0" collapsed="false">
      <c r="A25" s="10" t="s">
        <v>15</v>
      </c>
      <c r="B25" s="11" t="s">
        <v>29</v>
      </c>
    </row>
    <row r="26" customFormat="false" ht="15" hidden="false" customHeight="false" outlineLevel="0" collapsed="false">
      <c r="A26" s="4" t="s">
        <v>23</v>
      </c>
      <c r="B26" s="17" t="n">
        <f aca="false">G13*12</f>
        <v>900</v>
      </c>
    </row>
    <row r="27" customFormat="false" ht="15" hidden="false" customHeight="false" outlineLevel="0" collapsed="false">
      <c r="A27" s="4" t="s">
        <v>24</v>
      </c>
      <c r="B27" s="17" t="n">
        <f aca="false">G14*12</f>
        <v>1380</v>
      </c>
    </row>
    <row r="30" customFormat="false" ht="15" hidden="false" customHeight="false" outlineLevel="0" collapsed="false">
      <c r="A30" s="3" t="s">
        <v>30</v>
      </c>
    </row>
    <row r="31" customFormat="false" ht="15" hidden="false" customHeight="false" outlineLevel="0" collapsed="false">
      <c r="A31" s="10" t="s">
        <v>31</v>
      </c>
      <c r="B31" s="11" t="s">
        <v>32</v>
      </c>
      <c r="C31" s="11" t="s">
        <v>33</v>
      </c>
      <c r="D31" s="11" t="s">
        <v>34</v>
      </c>
    </row>
    <row r="32" customFormat="false" ht="15" hidden="false" customHeight="false" outlineLevel="0" collapsed="false">
      <c r="A32" s="4" t="s">
        <v>35</v>
      </c>
      <c r="B32" s="12" t="n">
        <v>5</v>
      </c>
      <c r="C32" s="12" t="n">
        <v>5</v>
      </c>
      <c r="D32" s="2" t="s">
        <v>36</v>
      </c>
    </row>
    <row r="33" customFormat="false" ht="15" hidden="false" customHeight="false" outlineLevel="0" collapsed="false">
      <c r="A33" s="4" t="s">
        <v>37</v>
      </c>
      <c r="B33" s="12" t="n">
        <v>6</v>
      </c>
      <c r="C33" s="12" t="n">
        <v>6</v>
      </c>
      <c r="D33" s="2" t="s">
        <v>38</v>
      </c>
    </row>
    <row r="34" customFormat="false" ht="15" hidden="false" customHeight="false" outlineLevel="0" collapsed="false">
      <c r="A34" s="4" t="s">
        <v>39</v>
      </c>
      <c r="B34" s="12" t="n">
        <v>2</v>
      </c>
      <c r="C34" s="12" t="n">
        <v>2</v>
      </c>
      <c r="D34" s="2"/>
    </row>
    <row r="35" customFormat="false" ht="15" hidden="false" customHeight="false" outlineLevel="0" collapsed="false">
      <c r="A35" s="4" t="s">
        <v>40</v>
      </c>
      <c r="B35" s="12" t="n">
        <v>3</v>
      </c>
      <c r="C35" s="12" t="n">
        <v>3</v>
      </c>
      <c r="D35" s="2" t="s">
        <v>41</v>
      </c>
    </row>
    <row r="36" customFormat="false" ht="15" hidden="false" customHeight="false" outlineLevel="0" collapsed="false">
      <c r="A36" s="4" t="s">
        <v>42</v>
      </c>
      <c r="B36" s="12" t="n">
        <v>0</v>
      </c>
      <c r="C36" s="12" t="n">
        <v>6</v>
      </c>
      <c r="D36" s="2" t="s">
        <v>43</v>
      </c>
    </row>
    <row r="37" customFormat="false" ht="15" hidden="false" customHeight="false" outlineLevel="0" collapsed="false">
      <c r="A37" s="3" t="s">
        <v>44</v>
      </c>
      <c r="B37" s="9" t="n">
        <f aca="false">SUM(B32:B36)</f>
        <v>16</v>
      </c>
      <c r="C37" s="9" t="n">
        <f aca="false">SUM(C32:C36)</f>
        <v>22</v>
      </c>
    </row>
    <row r="38" customFormat="false" ht="15" hidden="false" customHeight="false" outlineLevel="0" collapsed="false">
      <c r="A38" s="4" t="s">
        <v>17</v>
      </c>
      <c r="B38" s="17" t="n">
        <f aca="false">B37*$B$5</f>
        <v>560</v>
      </c>
      <c r="C38" s="17" t="n">
        <f aca="false">C37*$B$5</f>
        <v>770</v>
      </c>
    </row>
    <row r="39" customFormat="false" ht="15" hidden="false" customHeight="false" outlineLevel="0" collapsed="false">
      <c r="A39" s="4" t="s">
        <v>45</v>
      </c>
      <c r="B39" s="5" t="n">
        <v>1500</v>
      </c>
      <c r="C39" s="5" t="n">
        <v>1500</v>
      </c>
      <c r="D39" s="2" t="s">
        <v>46</v>
      </c>
    </row>
    <row r="40" customFormat="false" ht="15" hidden="false" customHeight="false" outlineLevel="0" collapsed="false">
      <c r="A40" s="3" t="s">
        <v>47</v>
      </c>
      <c r="B40" s="18" t="n">
        <f aca="false">B38+B39</f>
        <v>2060</v>
      </c>
      <c r="C40" s="18" t="n">
        <f aca="false">C38+C39</f>
        <v>2270</v>
      </c>
    </row>
    <row r="42" customFormat="false" ht="15" hidden="false" customHeight="false" outlineLevel="0" collapsed="false">
      <c r="A42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3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10" t="s">
        <v>51</v>
      </c>
      <c r="B4" s="11" t="s">
        <v>52</v>
      </c>
      <c r="C4" s="11" t="s">
        <v>53</v>
      </c>
      <c r="D4" s="11" t="s">
        <v>54</v>
      </c>
      <c r="E4" s="11" t="s">
        <v>34</v>
      </c>
    </row>
    <row r="5" customFormat="false" ht="15" hidden="false" customHeight="false" outlineLevel="0" collapsed="false">
      <c r="A5" s="4" t="s">
        <v>55</v>
      </c>
      <c r="B5" s="5" t="n">
        <v>300</v>
      </c>
      <c r="C5" s="5" t="n">
        <v>700</v>
      </c>
      <c r="D5" s="5" t="n">
        <v>1500</v>
      </c>
      <c r="E5" s="2" t="s">
        <v>56</v>
      </c>
    </row>
    <row r="6" customFormat="false" ht="15" hidden="false" customHeight="false" outlineLevel="0" collapsed="false">
      <c r="A6" s="4" t="s">
        <v>57</v>
      </c>
      <c r="B6" s="6" t="n">
        <v>0.5</v>
      </c>
      <c r="C6" s="6" t="n">
        <v>0.65</v>
      </c>
      <c r="D6" s="6" t="n">
        <v>0.8</v>
      </c>
      <c r="E6" s="2" t="s">
        <v>58</v>
      </c>
    </row>
    <row r="7" customFormat="false" ht="15" hidden="false" customHeight="false" outlineLevel="0" collapsed="false">
      <c r="A7" s="4" t="s">
        <v>59</v>
      </c>
      <c r="B7" s="12" t="n">
        <v>2</v>
      </c>
      <c r="C7" s="12" t="n">
        <v>2.5</v>
      </c>
      <c r="D7" s="12" t="n">
        <v>3</v>
      </c>
      <c r="E7" s="2" t="s">
        <v>60</v>
      </c>
    </row>
    <row r="8" customFormat="false" ht="15" hidden="false" customHeight="false" outlineLevel="0" collapsed="false">
      <c r="A8" s="4" t="s">
        <v>61</v>
      </c>
      <c r="B8" s="13" t="n">
        <v>3</v>
      </c>
      <c r="C8" s="13" t="n">
        <v>5</v>
      </c>
      <c r="D8" s="13" t="n">
        <v>8</v>
      </c>
      <c r="E8" s="2" t="s">
        <v>56</v>
      </c>
    </row>
    <row r="10" customFormat="false" ht="15" hidden="false" customHeight="false" outlineLevel="0" collapsed="false">
      <c r="A10" s="3" t="s">
        <v>62</v>
      </c>
    </row>
    <row r="11" customFormat="false" ht="15" hidden="false" customHeight="false" outlineLevel="0" collapsed="false">
      <c r="A11" s="4" t="s">
        <v>63</v>
      </c>
      <c r="B11" s="8" t="n">
        <v>4.33</v>
      </c>
      <c r="E11" s="2"/>
    </row>
    <row r="12" customFormat="false" ht="15" hidden="false" customHeight="false" outlineLevel="0" collapsed="false">
      <c r="A12" s="4" t="s">
        <v>64</v>
      </c>
      <c r="B12" s="19" t="n">
        <v>20</v>
      </c>
      <c r="E12" s="2" t="s">
        <v>65</v>
      </c>
    </row>
    <row r="13" customFormat="false" ht="15" hidden="false" customHeight="false" outlineLevel="0" collapsed="false">
      <c r="A13" s="4" t="s">
        <v>66</v>
      </c>
      <c r="B13" s="19" t="n">
        <v>8</v>
      </c>
      <c r="E13" s="2" t="s">
        <v>67</v>
      </c>
    </row>
    <row r="14" customFormat="false" ht="15" hidden="false" customHeight="false" outlineLevel="0" collapsed="false">
      <c r="A14" s="4" t="s">
        <v>68</v>
      </c>
      <c r="B14" s="19" t="n">
        <v>6</v>
      </c>
      <c r="E14" s="2" t="s">
        <v>69</v>
      </c>
    </row>
    <row r="15" customFormat="false" ht="15" hidden="false" customHeight="false" outlineLevel="0" collapsed="false">
      <c r="A15" s="4" t="s">
        <v>70</v>
      </c>
      <c r="B15" s="19" t="n">
        <v>10</v>
      </c>
      <c r="E15" s="2"/>
    </row>
    <row r="16" customFormat="false" ht="15" hidden="false" customHeight="false" outlineLevel="0" collapsed="false">
      <c r="A16" s="4" t="s">
        <v>71</v>
      </c>
      <c r="B16" s="19" t="n">
        <v>15</v>
      </c>
      <c r="E16" s="2"/>
    </row>
    <row r="17" customFormat="false" ht="15" hidden="false" customHeight="false" outlineLevel="0" collapsed="false">
      <c r="A17" s="4" t="s">
        <v>72</v>
      </c>
      <c r="B17" s="19" t="n">
        <v>25</v>
      </c>
      <c r="E17" s="2" t="s">
        <v>73</v>
      </c>
    </row>
    <row r="18" customFormat="false" ht="15" hidden="false" customHeight="false" outlineLevel="0" collapsed="false">
      <c r="A18" s="4" t="s">
        <v>74</v>
      </c>
      <c r="B18" s="19" t="n">
        <v>22</v>
      </c>
      <c r="E18" s="2"/>
    </row>
    <row r="19" customFormat="false" ht="15" hidden="false" customHeight="false" outlineLevel="0" collapsed="false">
      <c r="A19" s="4" t="s">
        <v>75</v>
      </c>
      <c r="B19" s="19" t="n">
        <v>20</v>
      </c>
      <c r="E19" s="2" t="s">
        <v>76</v>
      </c>
    </row>
    <row r="20" customFormat="false" ht="15" hidden="false" customHeight="false" outlineLevel="0" collapsed="false">
      <c r="A20" s="4" t="s">
        <v>77</v>
      </c>
      <c r="B20" s="20" t="n">
        <v>0.5</v>
      </c>
      <c r="E20" s="2"/>
    </row>
    <row r="21" customFormat="false" ht="15" hidden="false" customHeight="false" outlineLevel="0" collapsed="false">
      <c r="A21" s="4" t="s">
        <v>78</v>
      </c>
      <c r="B21" s="20" t="n">
        <v>0.4</v>
      </c>
      <c r="E21" s="2" t="s">
        <v>79</v>
      </c>
    </row>
    <row r="22" customFormat="false" ht="15" hidden="false" customHeight="false" outlineLevel="0" collapsed="false">
      <c r="A22" s="4" t="s">
        <v>80</v>
      </c>
      <c r="B22" s="20" t="n">
        <v>1</v>
      </c>
      <c r="E22" s="2" t="s">
        <v>81</v>
      </c>
    </row>
    <row r="23" customFormat="false" ht="15" hidden="false" customHeight="false" outlineLevel="0" collapsed="false">
      <c r="A23" s="4" t="s">
        <v>82</v>
      </c>
      <c r="B23" s="19" t="n">
        <v>5</v>
      </c>
      <c r="E23" s="2" t="s">
        <v>83</v>
      </c>
    </row>
    <row r="24" customFormat="false" ht="15" hidden="false" customHeight="false" outlineLevel="0" collapsed="false">
      <c r="A24" s="4" t="s">
        <v>84</v>
      </c>
      <c r="B24" s="19" t="n">
        <v>500</v>
      </c>
      <c r="E24" s="2"/>
    </row>
    <row r="25" customFormat="false" ht="15" hidden="false" customHeight="false" outlineLevel="0" collapsed="false">
      <c r="A25" s="4" t="s">
        <v>85</v>
      </c>
      <c r="B25" s="19" t="n">
        <v>250</v>
      </c>
      <c r="E25" s="2"/>
    </row>
    <row r="26" customFormat="false" ht="15" hidden="false" customHeight="false" outlineLevel="0" collapsed="false">
      <c r="A26" s="4" t="s">
        <v>86</v>
      </c>
      <c r="B26" s="19" t="n">
        <v>8</v>
      </c>
      <c r="E26" s="2"/>
    </row>
    <row r="28" customFormat="false" ht="15" hidden="false" customHeight="false" outlineLevel="0" collapsed="false">
      <c r="A28" s="3" t="s">
        <v>87</v>
      </c>
    </row>
    <row r="29" customFormat="false" ht="15" hidden="false" customHeight="false" outlineLevel="0" collapsed="false">
      <c r="A29" s="10" t="s">
        <v>88</v>
      </c>
      <c r="B29" s="11" t="s">
        <v>52</v>
      </c>
      <c r="C29" s="11" t="s">
        <v>53</v>
      </c>
      <c r="D29" s="11" t="s">
        <v>54</v>
      </c>
      <c r="E29" s="11" t="s">
        <v>89</v>
      </c>
    </row>
    <row r="30" customFormat="false" ht="15" hidden="false" customHeight="false" outlineLevel="0" collapsed="false">
      <c r="A30" s="3" t="s">
        <v>90</v>
      </c>
      <c r="B30" s="17" t="n">
        <f aca="false">B5*B6</f>
        <v>150</v>
      </c>
      <c r="C30" s="17" t="n">
        <f aca="false">C5*C6</f>
        <v>455</v>
      </c>
      <c r="D30" s="17" t="n">
        <f aca="false">D5*D6</f>
        <v>1200</v>
      </c>
      <c r="E30" s="2" t="s">
        <v>91</v>
      </c>
    </row>
    <row r="31" customFormat="false" ht="15" hidden="false" customHeight="false" outlineLevel="0" collapsed="false">
      <c r="A31" s="3" t="s">
        <v>92</v>
      </c>
      <c r="B31" s="17" t="n">
        <f aca="false">B30*B7*$B$11</f>
        <v>1299</v>
      </c>
      <c r="C31" s="17" t="n">
        <f aca="false">C30*C7*$B$11</f>
        <v>4925.375</v>
      </c>
      <c r="D31" s="17" t="n">
        <f aca="false">D30*D7*$B$11</f>
        <v>15588</v>
      </c>
      <c r="E31" s="2" t="s">
        <v>93</v>
      </c>
    </row>
    <row r="32" customFormat="false" ht="15" hidden="false" customHeight="false" outlineLevel="0" collapsed="false">
      <c r="A32" s="4" t="s">
        <v>94</v>
      </c>
      <c r="B32" s="17" t="n">
        <f aca="false">B31*(1+$B$12)</f>
        <v>27279</v>
      </c>
      <c r="C32" s="17" t="n">
        <f aca="false">C31*(1+$B$12)</f>
        <v>103432.875</v>
      </c>
      <c r="D32" s="17" t="n">
        <f aca="false">D31*(1+$B$12)</f>
        <v>327348</v>
      </c>
      <c r="E32" s="2" t="s">
        <v>95</v>
      </c>
    </row>
    <row r="33" customFormat="false" ht="15" hidden="false" customHeight="false" outlineLevel="0" collapsed="false">
      <c r="A33" s="4" t="s">
        <v>96</v>
      </c>
      <c r="B33" s="17" t="n">
        <f aca="false">B31*$B$13+B30*$B$14*$B$15+B8*$B$18*$B$16*$B$17</f>
        <v>44142</v>
      </c>
      <c r="C33" s="17" t="n">
        <f aca="false">C31*$B$13+C30*$B$14*$B$15+C8*$B$18*$B$16*$B$17</f>
        <v>107953</v>
      </c>
      <c r="D33" s="17" t="n">
        <f aca="false">D31*$B$13+D30*$B$14*$B$15+D8*$B$18*$B$16*$B$17</f>
        <v>262704</v>
      </c>
      <c r="E33" s="2" t="s">
        <v>97</v>
      </c>
    </row>
    <row r="34" customFormat="false" ht="15" hidden="false" customHeight="false" outlineLevel="0" collapsed="false">
      <c r="A34" s="4" t="s">
        <v>98</v>
      </c>
      <c r="B34" s="9" t="n">
        <f aca="false">B33*$B$19/1000000</f>
        <v>0.88284</v>
      </c>
      <c r="C34" s="9" t="n">
        <f aca="false">C33*$B$19/1000000</f>
        <v>2.15906</v>
      </c>
      <c r="D34" s="9" t="n">
        <f aca="false">D33*$B$19/1000000</f>
        <v>5.25408</v>
      </c>
      <c r="E34" s="2"/>
    </row>
    <row r="35" customFormat="false" ht="15" hidden="false" customHeight="false" outlineLevel="0" collapsed="false">
      <c r="A35" s="4" t="s">
        <v>99</v>
      </c>
      <c r="B35" s="21" t="n">
        <f aca="false">B34/$B$23</f>
        <v>0.176568</v>
      </c>
      <c r="C35" s="21" t="n">
        <f aca="false">C34/$B$23</f>
        <v>0.431812</v>
      </c>
      <c r="D35" s="21" t="n">
        <f aca="false">D34/$B$23</f>
        <v>1.050816</v>
      </c>
      <c r="E35" s="2" t="s">
        <v>100</v>
      </c>
    </row>
    <row r="36" customFormat="false" ht="15" hidden="false" customHeight="false" outlineLevel="0" collapsed="false">
      <c r="A36" s="4" t="s">
        <v>101</v>
      </c>
      <c r="B36" s="22" t="n">
        <f aca="false">B34/$B$25</f>
        <v>0.00353136</v>
      </c>
      <c r="C36" s="22" t="n">
        <f aca="false">C34/$B$25</f>
        <v>0.00863624</v>
      </c>
      <c r="D36" s="22" t="n">
        <f aca="false">D34/$B$25</f>
        <v>0.02101632</v>
      </c>
      <c r="E36" s="2"/>
    </row>
    <row r="37" customFormat="false" ht="15" hidden="false" customHeight="false" outlineLevel="0" collapsed="false">
      <c r="A37" s="4" t="s">
        <v>102</v>
      </c>
      <c r="B37" s="17" t="n">
        <f aca="false">B32*$B$20/1000*12</f>
        <v>163.674</v>
      </c>
      <c r="C37" s="17" t="n">
        <f aca="false">C32*$B$20/1000*12</f>
        <v>620.59725</v>
      </c>
      <c r="D37" s="17" t="n">
        <f aca="false">D32*$B$20/1000*12</f>
        <v>1964.088</v>
      </c>
      <c r="E37" s="2"/>
    </row>
    <row r="38" customFormat="false" ht="15" hidden="false" customHeight="false" outlineLevel="0" collapsed="false">
      <c r="A38" s="4" t="s">
        <v>103</v>
      </c>
      <c r="B38" s="21" t="n">
        <f aca="false">B37/$B$24</f>
        <v>0.327348</v>
      </c>
      <c r="C38" s="21" t="n">
        <f aca="false">C37/$B$24</f>
        <v>1.2411945</v>
      </c>
      <c r="D38" s="21" t="n">
        <f aca="false">D37/$B$24</f>
        <v>3.928176</v>
      </c>
      <c r="E38" s="2" t="s">
        <v>104</v>
      </c>
    </row>
    <row r="39" customFormat="false" ht="15" hidden="false" customHeight="false" outlineLevel="0" collapsed="false">
      <c r="A39" s="4" t="s">
        <v>105</v>
      </c>
      <c r="B39" s="22" t="n">
        <f aca="false">B37/1000/$B$26</f>
        <v>0.02045925</v>
      </c>
      <c r="C39" s="22" t="n">
        <f aca="false">C37/1000/$B$26</f>
        <v>0.07757465625</v>
      </c>
      <c r="D39" s="22" t="n">
        <f aca="false">D37/1000/$B$26</f>
        <v>0.245511</v>
      </c>
      <c r="E39" s="2"/>
    </row>
    <row r="40" customFormat="false" ht="15" hidden="false" customHeight="false" outlineLevel="0" collapsed="false">
      <c r="A40" s="4" t="s">
        <v>106</v>
      </c>
      <c r="B40" s="17" t="n">
        <f aca="false">B30*($B$21+$B$22)</f>
        <v>210</v>
      </c>
      <c r="C40" s="17" t="n">
        <f aca="false">C30*($B$21+$B$22)</f>
        <v>637</v>
      </c>
      <c r="D40" s="17" t="n">
        <f aca="false">D30*($B$21+$B$22)</f>
        <v>1680</v>
      </c>
      <c r="E40" s="2" t="s">
        <v>107</v>
      </c>
    </row>
    <row r="42" customFormat="false" ht="15" hidden="false" customHeight="false" outlineLevel="0" collapsed="false">
      <c r="A42" s="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24"/>
    <col collapsed="false" customWidth="true" hidden="false" outlineLevel="0" max="4" min="4" style="0" width="58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111</v>
      </c>
      <c r="B5" s="5"/>
      <c r="C5" s="2" t="s">
        <v>112</v>
      </c>
    </row>
    <row r="6" customFormat="false" ht="15" hidden="false" customHeight="false" outlineLevel="0" collapsed="false">
      <c r="A6" s="4" t="s">
        <v>113</v>
      </c>
      <c r="B6" s="13" t="n">
        <v>3</v>
      </c>
      <c r="C6" s="2" t="s">
        <v>114</v>
      </c>
    </row>
    <row r="7" customFormat="false" ht="15" hidden="false" customHeight="false" outlineLevel="0" collapsed="false">
      <c r="A7" s="4" t="s">
        <v>115</v>
      </c>
      <c r="B7" s="7" t="n">
        <v>99</v>
      </c>
      <c r="C7" s="2" t="s">
        <v>116</v>
      </c>
    </row>
    <row r="8" customFormat="false" ht="15" hidden="false" customHeight="false" outlineLevel="0" collapsed="false">
      <c r="A8" s="4" t="s">
        <v>117</v>
      </c>
      <c r="B8" s="7" t="n">
        <v>25</v>
      </c>
      <c r="C8" s="2" t="s">
        <v>118</v>
      </c>
    </row>
    <row r="10" customFormat="false" ht="30" hidden="false" customHeight="true" outlineLevel="0" collapsed="false">
      <c r="A10" s="10" t="s">
        <v>119</v>
      </c>
      <c r="B10" s="11" t="s">
        <v>23</v>
      </c>
      <c r="C10" s="11" t="s">
        <v>27</v>
      </c>
      <c r="D10" s="11" t="s">
        <v>89</v>
      </c>
    </row>
    <row r="11" customFormat="false" ht="15" hidden="false" customHeight="false" outlineLevel="0" collapsed="false">
      <c r="A11" s="4" t="s">
        <v>120</v>
      </c>
      <c r="B11" s="16" t="n">
        <f aca="false">Canone!G13</f>
        <v>75</v>
      </c>
      <c r="C11" s="16" t="n">
        <f aca="false">Canone!G14</f>
        <v>115</v>
      </c>
      <c r="D11" s="2" t="s">
        <v>121</v>
      </c>
    </row>
    <row r="12" customFormat="false" ht="15" hidden="false" customHeight="false" outlineLevel="0" collapsed="false">
      <c r="A12" s="4" t="s">
        <v>122</v>
      </c>
      <c r="B12" s="9" t="n">
        <f aca="false">0</f>
        <v>0</v>
      </c>
      <c r="C12" s="9" t="n">
        <f aca="false">($B$7+$B$8/$B$6)/12</f>
        <v>8.94444444444445</v>
      </c>
      <c r="D12" s="2" t="s">
        <v>123</v>
      </c>
    </row>
    <row r="13" customFormat="false" ht="15" hidden="false" customHeight="false" outlineLevel="0" collapsed="false">
      <c r="A13" s="4" t="s">
        <v>124</v>
      </c>
      <c r="B13" s="9" t="n">
        <f aca="false">B11+B12</f>
        <v>75</v>
      </c>
      <c r="C13" s="9" t="n">
        <f aca="false">C11+C12</f>
        <v>123.944444444444</v>
      </c>
      <c r="D13" s="2"/>
    </row>
    <row r="14" customFormat="false" ht="15" hidden="false" customHeight="false" outlineLevel="0" collapsed="false">
      <c r="A14" s="4" t="s">
        <v>125</v>
      </c>
      <c r="B14" s="17" t="n">
        <f aca="false">Canone!B40</f>
        <v>2060</v>
      </c>
      <c r="C14" s="17" t="n">
        <f aca="false">Canone!C40</f>
        <v>2270</v>
      </c>
      <c r="D14" s="2" t="s">
        <v>121</v>
      </c>
    </row>
    <row r="15" customFormat="false" ht="15" hidden="false" customHeight="false" outlineLevel="0" collapsed="false">
      <c r="A15" s="3" t="s">
        <v>126</v>
      </c>
      <c r="B15" s="17" t="n">
        <f aca="false">B13*12*$B$6+B14</f>
        <v>4760</v>
      </c>
      <c r="C15" s="17" t="n">
        <f aca="false">C13*12*$B$6+C14</f>
        <v>6732</v>
      </c>
      <c r="D15" s="2" t="s">
        <v>127</v>
      </c>
    </row>
    <row r="16" customFormat="false" ht="15" hidden="false" customHeight="false" outlineLevel="0" collapsed="false">
      <c r="A16" s="3" t="s">
        <v>128</v>
      </c>
      <c r="B16" s="9" t="n">
        <f aca="false">B15/($B$6*12)</f>
        <v>132.222222222222</v>
      </c>
      <c r="C16" s="9" t="n">
        <f aca="false">C15/($B$6*12)</f>
        <v>187</v>
      </c>
      <c r="D16" s="2" t="s">
        <v>129</v>
      </c>
    </row>
    <row r="18" customFormat="false" ht="15" hidden="false" customHeight="false" outlineLevel="0" collapsed="false">
      <c r="A18" s="3" t="s">
        <v>130</v>
      </c>
    </row>
    <row r="19" customFormat="false" ht="15" hidden="false" customHeight="false" outlineLevel="0" collapsed="false">
      <c r="A19" s="10"/>
      <c r="B19" s="11" t="s">
        <v>23</v>
      </c>
      <c r="C19" s="11" t="s">
        <v>27</v>
      </c>
      <c r="D19" s="11"/>
    </row>
    <row r="20" customFormat="false" ht="15" hidden="false" customHeight="false" outlineLevel="0" collapsed="false">
      <c r="A20" s="4" t="s">
        <v>131</v>
      </c>
      <c r="B20" s="17" t="str">
        <f aca="false">IF(ISNUMBER($B$5),$B$5*12*$B$6,"da inserire")</f>
        <v>da inserire</v>
      </c>
      <c r="C20" s="17" t="str">
        <f aca="false">IF(ISNUMBER($B$5),$B$5*12*$B$6,"da inserire")</f>
        <v>da inserire</v>
      </c>
    </row>
    <row r="21" customFormat="false" ht="15" hidden="false" customHeight="false" outlineLevel="0" collapsed="false">
      <c r="A21" s="3" t="s">
        <v>132</v>
      </c>
      <c r="B21" s="23" t="str">
        <f aca="false">IF(ISNUMBER($B$5),B20-B15,"da inserire")</f>
        <v>da inserire</v>
      </c>
      <c r="C21" s="23" t="str">
        <f aca="false">IF(ISNUMBER($B$5),C20-C15,"da inserire")</f>
        <v>da inserire</v>
      </c>
    </row>
    <row r="22" customFormat="false" ht="15" hidden="false" customHeight="false" outlineLevel="0" collapsed="false">
      <c r="A22" s="4" t="s">
        <v>133</v>
      </c>
      <c r="B22" s="24" t="str">
        <f aca="false">IF(ISNUMBER($B$5),B21/$B$6,"da inserire")</f>
        <v>da inserire</v>
      </c>
      <c r="C22" s="24" t="str">
        <f aca="false">IF(ISNUMBER($B$5),C21/$B$6,"da inserire")</f>
        <v>da inserire</v>
      </c>
    </row>
    <row r="23" customFormat="false" ht="15" hidden="false" customHeight="false" outlineLevel="0" collapsed="false">
      <c r="A23" s="4" t="s">
        <v>134</v>
      </c>
      <c r="B23" s="25" t="str">
        <f aca="false">IF(ISNUMBER($B$5),B21/B20,"da inserire")</f>
        <v>da inserire</v>
      </c>
      <c r="C23" s="25" t="str">
        <f aca="false">IF(ISNUMBER($B$5),C21/C20,"da inserire")</f>
        <v>da inserire</v>
      </c>
    </row>
    <row r="25" customFormat="false" ht="15" hidden="false" customHeight="false" outlineLevel="0" collapsed="false">
      <c r="A25" s="3" t="s">
        <v>135</v>
      </c>
    </row>
    <row r="26" customFormat="false" ht="30" hidden="false" customHeight="true" outlineLevel="0" collapsed="false">
      <c r="A26" s="10" t="s">
        <v>136</v>
      </c>
      <c r="B26" s="11" t="s">
        <v>137</v>
      </c>
      <c r="C26" s="11" t="s">
        <v>138</v>
      </c>
      <c r="D26" s="11"/>
    </row>
    <row r="27" customFormat="false" ht="15" hidden="false" customHeight="false" outlineLevel="0" collapsed="false">
      <c r="A27" s="26" t="n">
        <v>50</v>
      </c>
      <c r="B27" s="24" t="n">
        <f aca="false">($A27*12*$B$6-$B$15)/$B$6</f>
        <v>-986.666666666667</v>
      </c>
      <c r="C27" s="24" t="n">
        <f aca="false">($A27*12*$B$6-$C$15)/$B$6</f>
        <v>-1644</v>
      </c>
    </row>
    <row r="28" customFormat="false" ht="15" hidden="false" customHeight="false" outlineLevel="0" collapsed="false">
      <c r="A28" s="26" t="n">
        <v>100</v>
      </c>
      <c r="B28" s="24" t="n">
        <f aca="false">($A28*12*$B$6-$B$15)/$B$6</f>
        <v>-386.666666666667</v>
      </c>
      <c r="C28" s="24" t="n">
        <f aca="false">($A28*12*$B$6-$C$15)/$B$6</f>
        <v>-1044</v>
      </c>
    </row>
    <row r="29" customFormat="false" ht="15" hidden="false" customHeight="false" outlineLevel="0" collapsed="false">
      <c r="A29" s="26" t="n">
        <v>150</v>
      </c>
      <c r="B29" s="24" t="n">
        <f aca="false">($A29*12*$B$6-$B$15)/$B$6</f>
        <v>213.333333333333</v>
      </c>
      <c r="C29" s="24" t="n">
        <f aca="false">($A29*12*$B$6-$C$15)/$B$6</f>
        <v>-444</v>
      </c>
    </row>
    <row r="30" customFormat="false" ht="15" hidden="false" customHeight="false" outlineLevel="0" collapsed="false">
      <c r="A30" s="26" t="n">
        <v>250</v>
      </c>
      <c r="B30" s="24" t="n">
        <f aca="false">($A30*12*$B$6-$B$15)/$B$6</f>
        <v>1413.33333333333</v>
      </c>
      <c r="C30" s="24" t="n">
        <f aca="false">($A30*12*$B$6-$C$15)/$B$6</f>
        <v>756</v>
      </c>
    </row>
    <row r="31" customFormat="false" ht="15" hidden="false" customHeight="false" outlineLevel="0" collapsed="false">
      <c r="A31" s="26" t="n">
        <v>400</v>
      </c>
      <c r="B31" s="24" t="n">
        <f aca="false">($A31*12*$B$6-$B$15)/$B$6</f>
        <v>3213.33333333333</v>
      </c>
      <c r="C31" s="24" t="n">
        <f aca="false">($A31*12*$B$6-$C$15)/$B$6</f>
        <v>2556</v>
      </c>
    </row>
    <row r="33" customFormat="false" ht="15" hidden="false" customHeight="false" outlineLevel="0" collapsed="false">
      <c r="A33" s="2" t="s">
        <v>139</v>
      </c>
    </row>
    <row r="34" customFormat="false" ht="15" hidden="false" customHeight="false" outlineLevel="0" collapsed="false">
      <c r="A34" s="2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52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1" t="s">
        <v>141</v>
      </c>
    </row>
    <row r="3" customFormat="false" ht="15" hidden="false" customHeight="false" outlineLevel="0" collapsed="false">
      <c r="A3" s="10" t="s">
        <v>142</v>
      </c>
      <c r="B3" s="11" t="s">
        <v>143</v>
      </c>
      <c r="C3" s="11" t="s">
        <v>144</v>
      </c>
      <c r="D3" s="11" t="s">
        <v>145</v>
      </c>
    </row>
    <row r="4" customFormat="false" ht="23.85" hidden="false" customHeight="false" outlineLevel="0" collapsed="false">
      <c r="A4" s="27" t="s">
        <v>146</v>
      </c>
      <c r="B4" s="27" t="s">
        <v>147</v>
      </c>
      <c r="C4" s="27" t="s">
        <v>148</v>
      </c>
      <c r="D4" s="27" t="s">
        <v>149</v>
      </c>
    </row>
    <row r="5" customFormat="false" ht="23.85" hidden="false" customHeight="false" outlineLevel="0" collapsed="false">
      <c r="A5" s="27" t="s">
        <v>150</v>
      </c>
      <c r="B5" s="27" t="s">
        <v>151</v>
      </c>
      <c r="C5" s="27" t="s">
        <v>148</v>
      </c>
      <c r="D5" s="27" t="s">
        <v>149</v>
      </c>
    </row>
    <row r="6" customFormat="false" ht="23.85" hidden="false" customHeight="false" outlineLevel="0" collapsed="false">
      <c r="A6" s="27" t="s">
        <v>152</v>
      </c>
      <c r="B6" s="27" t="s">
        <v>153</v>
      </c>
      <c r="C6" s="27" t="s">
        <v>154</v>
      </c>
      <c r="D6" s="27" t="s">
        <v>155</v>
      </c>
    </row>
    <row r="7" customFormat="false" ht="23.85" hidden="false" customHeight="false" outlineLevel="0" collapsed="false">
      <c r="A7" s="27" t="s">
        <v>156</v>
      </c>
      <c r="B7" s="27" t="s">
        <v>157</v>
      </c>
      <c r="C7" s="27" t="s">
        <v>158</v>
      </c>
      <c r="D7" s="27" t="s">
        <v>159</v>
      </c>
    </row>
    <row r="8" customFormat="false" ht="23.85" hidden="false" customHeight="false" outlineLevel="0" collapsed="false">
      <c r="A8" s="27" t="s">
        <v>160</v>
      </c>
      <c r="B8" s="27" t="s">
        <v>161</v>
      </c>
      <c r="C8" s="27" t="s">
        <v>162</v>
      </c>
      <c r="D8" s="27" t="s">
        <v>149</v>
      </c>
    </row>
    <row r="9" customFormat="false" ht="15" hidden="false" customHeight="false" outlineLevel="0" collapsed="false">
      <c r="A9" s="27" t="s">
        <v>163</v>
      </c>
      <c r="B9" s="27" t="s">
        <v>164</v>
      </c>
      <c r="C9" s="27" t="s">
        <v>165</v>
      </c>
      <c r="D9" s="27" t="s">
        <v>166</v>
      </c>
    </row>
    <row r="10" customFormat="false" ht="15" hidden="false" customHeight="false" outlineLevel="0" collapsed="false">
      <c r="A10" s="27" t="s">
        <v>167</v>
      </c>
      <c r="B10" s="27" t="s">
        <v>168</v>
      </c>
      <c r="C10" s="27" t="s">
        <v>169</v>
      </c>
      <c r="D10" s="27" t="s">
        <v>166</v>
      </c>
    </row>
    <row r="11" customFormat="false" ht="15" hidden="false" customHeight="false" outlineLevel="0" collapsed="false">
      <c r="A11" s="27" t="s">
        <v>170</v>
      </c>
      <c r="B11" s="27" t="s">
        <v>171</v>
      </c>
      <c r="C11" s="27" t="s">
        <v>172</v>
      </c>
      <c r="D11" s="27" t="s">
        <v>166</v>
      </c>
    </row>
    <row r="12" customFormat="false" ht="15" hidden="false" customHeight="false" outlineLevel="0" collapsed="false">
      <c r="A12" s="27" t="s">
        <v>173</v>
      </c>
      <c r="B12" s="27" t="s">
        <v>174</v>
      </c>
      <c r="C12" s="27" t="s">
        <v>175</v>
      </c>
      <c r="D12" s="27" t="s">
        <v>176</v>
      </c>
    </row>
    <row r="13" customFormat="false" ht="15" hidden="false" customHeight="false" outlineLevel="0" collapsed="false">
      <c r="A13" s="27" t="s">
        <v>177</v>
      </c>
      <c r="B13" s="27" t="s">
        <v>178</v>
      </c>
      <c r="C13" s="27" t="s">
        <v>175</v>
      </c>
      <c r="D13" s="27" t="s">
        <v>179</v>
      </c>
    </row>
    <row r="14" customFormat="false" ht="15" hidden="false" customHeight="false" outlineLevel="0" collapsed="false">
      <c r="A14" s="27" t="s">
        <v>180</v>
      </c>
      <c r="B14" s="27" t="s">
        <v>181</v>
      </c>
      <c r="C14" s="27" t="s">
        <v>175</v>
      </c>
      <c r="D14" s="27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2026-10-14T10:06:49Z</dcterms:created>
  <dc:creator>openpyxl</dc:creator>
  <dc:description/>
  <dc:language>en-US</dc:language>
  <cp:lastModifiedBy/>
  <dcterms:modified xsi:type="dcterms:W3CDTF">2026-10-14T10:06:49Z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